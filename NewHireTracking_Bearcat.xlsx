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nli\OneDrive\Desktop\RPA\Group_project\"/>
    </mc:Choice>
  </mc:AlternateContent>
  <xr:revisionPtr revIDLastSave="0" documentId="13_ncr:1_{065E191E-3236-4738-89B7-60F79B0FDD53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New_Hire_Tracking" sheetId="1" r:id="rId1"/>
    <sheet name="Bot_Log" sheetId="2" r:id="rId2"/>
    <sheet name="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R8" i="1"/>
  <c r="R6" i="1"/>
  <c r="R5" i="1"/>
  <c r="R4" i="1"/>
</calcChain>
</file>

<file path=xl/sharedStrings.xml><?xml version="1.0" encoding="utf-8"?>
<sst xmlns="http://schemas.openxmlformats.org/spreadsheetml/2006/main" count="268" uniqueCount="185">
  <si>
    <t>PROCESS SEQUENCE: Step 1 — Bot reads Risk Control PDF and fills Risk Policy columns | Step 2 — HR collects documents and checks Document Checklist | Step 3 — Bot queries Background Check API | Step 4 — Bot provisions IT if all checks pass</t>
  </si>
  <si>
    <t>Employee Info</t>
  </si>
  <si>
    <t>Risk Policy (Bot — Step 1)</t>
  </si>
  <si>
    <t>Document Checklist (HR — Step 2)</t>
  </si>
  <si>
    <t>Background Check (Step 3)</t>
  </si>
  <si>
    <t>IT Provisioning (Step 4)</t>
  </si>
  <si>
    <t>Bot Output</t>
  </si>
  <si>
    <t>Employee_ID</t>
  </si>
  <si>
    <t>First_Name</t>
  </si>
  <si>
    <t>Last_Name</t>
  </si>
  <si>
    <t>Email</t>
  </si>
  <si>
    <t>Department</t>
  </si>
  <si>
    <t>Role_Title</t>
  </si>
  <si>
    <t>Manager_Email</t>
  </si>
  <si>
    <t>Start_Date</t>
  </si>
  <si>
    <t>Risk_Policy_Check</t>
  </si>
  <si>
    <t>Required_Documents</t>
  </si>
  <si>
    <t>Risk_Policy_Notes</t>
  </si>
  <si>
    <t>Doc_ID_Received</t>
  </si>
  <si>
    <t>Doc_I9_Received</t>
  </si>
  <si>
    <t>Doc_Transcript_Received</t>
  </si>
  <si>
    <t>Doc_Agreement_Received</t>
  </si>
  <si>
    <t>BG_Check_Status</t>
  </si>
  <si>
    <t>BG_Check_Date</t>
  </si>
  <si>
    <t>BG_Days_Waiting</t>
  </si>
  <si>
    <t>AD_Account_Created</t>
  </si>
  <si>
    <t>AD_Account_UPN</t>
  </si>
  <si>
    <t>ServiceNow_Ticket_ID</t>
  </si>
  <si>
    <t>Equipment_Type</t>
  </si>
  <si>
    <t>Bot_Status</t>
  </si>
  <si>
    <t>Bot_Last_Run</t>
  </si>
  <si>
    <t>Bot_Notes</t>
  </si>
  <si>
    <t>Welcome_Email_Sent</t>
  </si>
  <si>
    <t>EMP001</t>
  </si>
  <si>
    <t>John</t>
  </si>
  <si>
    <t>Smith</t>
  </si>
  <si>
    <t>john.smith@bearcat.com</t>
  </si>
  <si>
    <t>Finance</t>
  </si>
  <si>
    <t>Financial Analyst</t>
  </si>
  <si>
    <t>manager1@bearcat.com</t>
  </si>
  <si>
    <t>2025-06-01</t>
  </si>
  <si>
    <t>Pass</t>
  </si>
  <si>
    <t>Government ID, I-9, Transcript (Finance degree), Signed Agreement</t>
  </si>
  <si>
    <t>Finance role: clean criminal record required. No security clearance needed.</t>
  </si>
  <si>
    <t>Yes</t>
  </si>
  <si>
    <t>2025-05-01</t>
  </si>
  <si>
    <t>SNT-00123</t>
  </si>
  <si>
    <t>Laptop + Monitor + Secure Token</t>
  </si>
  <si>
    <t>Completed</t>
  </si>
  <si>
    <t>2025-05-15</t>
  </si>
  <si>
    <t>All checks passed. AD account created. Welcome email sent.</t>
  </si>
  <si>
    <t>EMP002</t>
  </si>
  <si>
    <t>Sarah</t>
  </si>
  <si>
    <t>Johnson</t>
  </si>
  <si>
    <t>sarah.johnson@bearcat.com</t>
  </si>
  <si>
    <t>Operations</t>
  </si>
  <si>
    <t>Operations Manager</t>
  </si>
  <si>
    <t>manager2@bearcat.com</t>
  </si>
  <si>
    <t>2025-06-15</t>
  </si>
  <si>
    <t>Government ID, I-9, Signed Agreement</t>
  </si>
  <si>
    <t>Standard role: no additional compliance requirements.</t>
  </si>
  <si>
    <t>Fail</t>
  </si>
  <si>
    <t>2025-05-05</t>
  </si>
  <si>
    <t>No</t>
  </si>
  <si>
    <t>Rejected</t>
  </si>
  <si>
    <t>2025-05-06</t>
  </si>
  <si>
    <t>Background check failed. Rejection email sent to candidate.</t>
  </si>
  <si>
    <t>EMP003</t>
  </si>
  <si>
    <t>Michael</t>
  </si>
  <si>
    <t>Chen</t>
  </si>
  <si>
    <t>michael.chen@bearcat.com</t>
  </si>
  <si>
    <t>IT</t>
  </si>
  <si>
    <t>Systems Engineer</t>
  </si>
  <si>
    <t>manager3@bearcat.com</t>
  </si>
  <si>
    <t>2025-06-20</t>
  </si>
  <si>
    <t>Government ID, I-9, Transcript (IT/Engineering degree), Signed Agreement</t>
  </si>
  <si>
    <t>IT role: standard checks apply.</t>
  </si>
  <si>
    <t>Pending</t>
  </si>
  <si>
    <t>2025-05-20</t>
  </si>
  <si>
    <t>Background check pending. Retrying on next scheduled run.</t>
  </si>
  <si>
    <t>EMP004</t>
  </si>
  <si>
    <t>Emily</t>
  </si>
  <si>
    <t>Davis</t>
  </si>
  <si>
    <t>emily.davis@bearcat.com</t>
  </si>
  <si>
    <t>HR</t>
  </si>
  <si>
    <t>HR Coordinator</t>
  </si>
  <si>
    <t>manager4@bearcat.com</t>
  </si>
  <si>
    <t>2025-06-25</t>
  </si>
  <si>
    <t>Flagged</t>
  </si>
  <si>
    <t>Document checklist incomplete: Transcript not received. HR notified to follow up with candidate.</t>
  </si>
  <si>
    <t>EMP005</t>
  </si>
  <si>
    <t>James</t>
  </si>
  <si>
    <t>Wilson</t>
  </si>
  <si>
    <t>james.wilson@bearcat.com</t>
  </si>
  <si>
    <t>Legal</t>
  </si>
  <si>
    <t>Legal Counsel</t>
  </si>
  <si>
    <t>manager5@bearcat.com</t>
  </si>
  <si>
    <t>2025-07-01</t>
  </si>
  <si>
    <t>Government ID, I-9, Law Degree Transcript, Signed Agreement, Security Clearance Form</t>
  </si>
  <si>
    <t>Legal role: security clearance required. Provisioning on hold until clearance confirmed.</t>
  </si>
  <si>
    <t>2025-04-20</t>
  </si>
  <si>
    <t>Escalated</t>
  </si>
  <si>
    <t>Background check pending &gt;= 15 days. HR Manager escalation triggered.</t>
  </si>
  <si>
    <t>EMP006</t>
  </si>
  <si>
    <t>Robert</t>
  </si>
  <si>
    <t>Kim</t>
  </si>
  <si>
    <t>robert.kim@bearcat.com</t>
  </si>
  <si>
    <t>Senior Accountant</t>
  </si>
  <si>
    <t>2025-07-10</t>
  </si>
  <si>
    <t>Finance role: criminal record flag detected in background check. Escalated to HR Manager and Legal. AD provisioning blocked.</t>
  </si>
  <si>
    <t>2025-05-10</t>
  </si>
  <si>
    <t>2025-05-11</t>
  </si>
  <si>
    <t>Finance role + criminal record flag. HR Manager and Legal notified. Provisioning blocked per BR-003b.</t>
  </si>
  <si>
    <t>Timestamp</t>
  </si>
  <si>
    <t>Step</t>
  </si>
  <si>
    <t>Status</t>
  </si>
  <si>
    <t>Message</t>
  </si>
  <si>
    <t>Error_Detail</t>
  </si>
  <si>
    <t>2025-05-15 08:00:01</t>
  </si>
  <si>
    <t>Risk Policy Check</t>
  </si>
  <si>
    <t>GPT-4o read Risk Control PDF. Finance role requirements extracted.</t>
  </si>
  <si>
    <t>2025-05-15 08:00:03</t>
  </si>
  <si>
    <t>Document Checklist</t>
  </si>
  <si>
    <t>All 4 documents confirmed received by HR.</t>
  </si>
  <si>
    <t>2025-05-15 08:00:05</t>
  </si>
  <si>
    <t>Background Check</t>
  </si>
  <si>
    <t>Status = Pass retrieved from API.</t>
  </si>
  <si>
    <t>2025-05-15 08:00:07</t>
  </si>
  <si>
    <t>AD Provisioning</t>
  </si>
  <si>
    <t>Azure AD account created: john.smith@bearcat.com</t>
  </si>
  <si>
    <t>2025-05-15 08:00:09</t>
  </si>
  <si>
    <t>ServiceNow Ticket</t>
  </si>
  <si>
    <t>Ticket SNT-00123 created. Equipment: Laptop + Monitor + Secure Token</t>
  </si>
  <si>
    <t>2025-05-15 08:00:11</t>
  </si>
  <si>
    <t>Welcome Email</t>
  </si>
  <si>
    <t>Welcome email sent to john.smith@bearcat.com</t>
  </si>
  <si>
    <t>2025-05-15 08:01:00</t>
  </si>
  <si>
    <t>Status = Fail. Rejection email sent to candidate.</t>
  </si>
  <si>
    <t>2025-05-15 08:02:00</t>
  </si>
  <si>
    <t>Days waiting = 8. Row skipped, retry on next run.</t>
  </si>
  <si>
    <t>2025-05-15 08:03:00</t>
  </si>
  <si>
    <t>Doc_Transcript_Received = No. HR notified to follow up.</t>
  </si>
  <si>
    <t>Transcript missing</t>
  </si>
  <si>
    <t>2025-05-15 08:04:00</t>
  </si>
  <si>
    <t>Days waiting = 25. HR Manager escalation triggered.</t>
  </si>
  <si>
    <t>2025-05-15 08:05:00</t>
  </si>
  <si>
    <t>Finance role + criminal record flag. Escalated to HR Manager and Legal.</t>
  </si>
  <si>
    <t>BR-003b triggered</t>
  </si>
  <si>
    <t>Config_Key</t>
  </si>
  <si>
    <t>Config_Value</t>
  </si>
  <si>
    <t>Description</t>
  </si>
  <si>
    <t>BG_API_URL</t>
  </si>
  <si>
    <t>http://localhost:5000/background-check</t>
  </si>
  <si>
    <t>Flask simulated background check API endpoint</t>
  </si>
  <si>
    <t>BG_API_KEY</t>
  </si>
  <si>
    <t>demo-api-key-001</t>
  </si>
  <si>
    <t>API key for background check endpoint</t>
  </si>
  <si>
    <t>OPENAI_API_KEY</t>
  </si>
  <si>
    <t>sk-****** (store in PA environment variable)</t>
  </si>
  <si>
    <t>GPT-4o API key — never hardcode in flow</t>
  </si>
  <si>
    <t>RISK_POLICY_PDF_PATH</t>
  </si>
  <si>
    <t>HR-Automation/RiskControlPolicy.pdf</t>
  </si>
  <si>
    <t>SharePoint path to Risk Control PDF — read at Step 1</t>
  </si>
  <si>
    <t>BG_PENDING_ESCALATE_DAYS</t>
  </si>
  <si>
    <t>15</t>
  </si>
  <si>
    <t>Days before pending BG check escalates to HR Manager</t>
  </si>
  <si>
    <t>POLL_INTERVAL_MINUTES</t>
  </si>
  <si>
    <t>Power Automate recurrence trigger interval (minutes)</t>
  </si>
  <si>
    <t>EQUIPMENT_Finance</t>
  </si>
  <si>
    <t>Equipment bundle for Finance roles</t>
  </si>
  <si>
    <t>EQUIPMENT_IT</t>
  </si>
  <si>
    <t>Laptop + Monitor + Docking Station</t>
  </si>
  <si>
    <t>Equipment bundle for IT roles</t>
  </si>
  <si>
    <t>EQUIPMENT_Legal</t>
  </si>
  <si>
    <t>Laptop + Monitor + Encrypted USB</t>
  </si>
  <si>
    <t>Equipment bundle for Legal roles</t>
  </si>
  <si>
    <t>EQUIPMENT_Standard</t>
  </si>
  <si>
    <t>Laptop + Monitor</t>
  </si>
  <si>
    <t>Default equipment bundle for all other roles</t>
  </si>
  <si>
    <t>ROLE_SECURITY_CLEARANCE</t>
  </si>
  <si>
    <t>Legal, Executive</t>
  </si>
  <si>
    <t>Roles requiring additional security clearance — provisioning held</t>
  </si>
  <si>
    <t>ROLE_CRIMINAL_CHECK</t>
  </si>
  <si>
    <t>Finance, Accounting</t>
  </si>
  <si>
    <t>Roles where criminal record flag triggers HR Manager + Legal escalation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</si>
</sst>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D6B3A"/>
      <name val="Arial"/>
    </font>
    <font>
      <b/>
      <sz val="10"/>
      <color rgb="FFC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EAF2FF"/>
        <bgColor rgb="FFF2F2F2"/>
      </patternFill>
    </fill>
    <fill>
      <patternFill patternType="solid">
        <fgColor rgb="FF1F4E79"/>
        <bgColor rgb="FF166F6F"/>
      </patternFill>
    </fill>
    <fill>
      <patternFill patternType="solid">
        <fgColor rgb="FF6B3FA0"/>
        <bgColor rgb="FF555555"/>
      </patternFill>
    </fill>
    <fill>
      <patternFill patternType="solid">
        <fgColor rgb="FF166F6F"/>
        <bgColor rgb="FF008080"/>
      </patternFill>
    </fill>
    <fill>
      <patternFill patternType="solid">
        <fgColor rgb="FF2E75B6"/>
        <bgColor rgb="FF166F6F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D966"/>
        <bgColor rgb="FFFFCC00"/>
      </patternFill>
    </fill>
    <fill>
      <patternFill patternType="solid">
        <fgColor rgb="FFF2F2F2"/>
        <bgColor rgb="FFEAF2FF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left" vertical="center" wrapText="1"/>
    </xf>
    <xf numFmtId="0" fontId="3" fillId="12" borderId="4" xfId="0" applyFont="1" applyFill="1" applyBorder="1" applyAlignment="1">
      <alignment horizontal="left" vertical="center" wrapText="1"/>
    </xf>
    <xf numFmtId="0" fontId="4" fillId="13" borderId="4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left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6F6F"/>
      <rgbColor rgb="FFCCCCCC"/>
      <rgbColor rgb="FF808080"/>
      <rgbColor rgb="FF9999FF"/>
      <rgbColor rgb="FF6B3FA0"/>
      <rgbColor rgb="FFFFF2CC"/>
      <rgbColor rgb="FFEA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topLeftCell="O1" zoomScaleNormal="100" workbookViewId="0">
      <pane ySplit="2" topLeftCell="A3" activePane="bottomLeft" state="frozen"/>
      <selection pane="bottomLeft" activeCell="V10" sqref="V10"/>
    </sheetView>
  </sheetViews>
  <sheetFormatPr defaultColWidth="8.6640625" defaultRowHeight="14.25" x14ac:dyDescent="0.45"/>
  <cols>
    <col min="1" max="1" width="12.33203125" bestFit="1" customWidth="1"/>
    <col min="2" max="2" width="10.796875" bestFit="1" customWidth="1"/>
    <col min="3" max="3" width="10.53125" bestFit="1" customWidth="1"/>
    <col min="4" max="4" width="24.1328125" bestFit="1" customWidth="1"/>
    <col min="5" max="5" width="11" bestFit="1" customWidth="1"/>
    <col min="6" max="6" width="17.3984375" bestFit="1" customWidth="1"/>
    <col min="7" max="7" width="20.73046875" bestFit="1" customWidth="1"/>
    <col min="8" max="8" width="9.9296875" bestFit="1" customWidth="1"/>
    <col min="9" max="9" width="17.59765625" bestFit="1" customWidth="1"/>
    <col min="10" max="10" width="73.86328125" bestFit="1" customWidth="1"/>
    <col min="11" max="11" width="104.86328125" bestFit="1" customWidth="1"/>
    <col min="12" max="12" width="18.59765625" bestFit="1" customWidth="1"/>
    <col min="13" max="13" width="15.796875" bestFit="1" customWidth="1"/>
    <col min="14" max="14" width="23.46484375" bestFit="1" customWidth="1"/>
    <col min="15" max="15" width="24" bestFit="1" customWidth="1"/>
    <col min="16" max="16" width="16.53125" bestFit="1" customWidth="1"/>
    <col min="17" max="17" width="14.9296875" bestFit="1" customWidth="1"/>
    <col min="18" max="18" width="16.46484375" bestFit="1" customWidth="1"/>
    <col min="19" max="19" width="19.53125" bestFit="1" customWidth="1"/>
    <col min="20" max="20" width="21" bestFit="1" customWidth="1"/>
    <col min="21" max="21" width="20.3984375" bestFit="1" customWidth="1"/>
    <col min="22" max="22" width="28.1328125" bestFit="1" customWidth="1"/>
    <col min="23" max="23" width="10.33203125" bestFit="1" customWidth="1"/>
    <col min="24" max="24" width="13.19921875" bestFit="1" customWidth="1"/>
    <col min="25" max="25" width="84.3984375" bestFit="1" customWidth="1"/>
    <col min="26" max="26" width="19.86328125" bestFit="1" customWidth="1"/>
  </cols>
  <sheetData>
    <row r="1" spans="1:26" ht="19.5" customHeight="1" x14ac:dyDescent="0.45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8"/>
      <c r="X1" s="16"/>
      <c r="Y1" s="16"/>
      <c r="Z1" s="18"/>
    </row>
    <row r="2" spans="1:26" ht="31.5" customHeight="1" x14ac:dyDescent="0.45">
      <c r="A2" s="3" t="s">
        <v>1</v>
      </c>
      <c r="B2" s="1"/>
      <c r="C2" s="1"/>
      <c r="D2" s="1"/>
      <c r="E2" s="1"/>
      <c r="F2" s="1"/>
      <c r="G2" s="1"/>
      <c r="H2" s="2"/>
      <c r="I2" s="4" t="s">
        <v>2</v>
      </c>
      <c r="J2" s="1"/>
      <c r="K2" s="2"/>
      <c r="L2" s="5" t="s">
        <v>3</v>
      </c>
      <c r="M2" s="1"/>
      <c r="N2" s="1"/>
      <c r="O2" s="2"/>
      <c r="P2" s="3" t="s">
        <v>4</v>
      </c>
      <c r="Q2" s="1"/>
      <c r="R2" s="2"/>
      <c r="S2" s="3" t="s">
        <v>5</v>
      </c>
      <c r="T2" s="1"/>
      <c r="U2" s="1"/>
      <c r="V2" s="2"/>
      <c r="W2" s="6" t="s">
        <v>6</v>
      </c>
      <c r="X2" s="1"/>
      <c r="Y2" s="1"/>
      <c r="Z2" s="2"/>
    </row>
    <row r="3" spans="1:26" ht="19.5" customHeight="1" x14ac:dyDescent="0.45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</row>
    <row r="4" spans="1:26" ht="19.5" customHeight="1" x14ac:dyDescent="0.45">
      <c r="A4" s="7" t="s">
        <v>33</v>
      </c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40</v>
      </c>
      <c r="I4" s="7" t="s">
        <v>41</v>
      </c>
      <c r="J4" s="7" t="s">
        <v>42</v>
      </c>
      <c r="K4" s="7" t="s">
        <v>43</v>
      </c>
      <c r="L4" s="13" t="s">
        <v>44</v>
      </c>
      <c r="M4" s="13" t="s">
        <v>44</v>
      </c>
      <c r="N4" s="13" t="s">
        <v>44</v>
      </c>
      <c r="O4" s="13" t="s">
        <v>44</v>
      </c>
      <c r="P4" s="7" t="s">
        <v>41</v>
      </c>
      <c r="Q4" s="7" t="s">
        <v>45</v>
      </c>
      <c r="R4" s="7">
        <f ca="1">TODAY()-DATE(2025,5,1)</f>
        <v>363</v>
      </c>
      <c r="S4" s="13" t="s">
        <v>44</v>
      </c>
      <c r="T4" s="7" t="s">
        <v>36</v>
      </c>
      <c r="U4" s="7" t="s">
        <v>46</v>
      </c>
      <c r="V4" s="7" t="s">
        <v>47</v>
      </c>
      <c r="W4" s="7" t="s">
        <v>48</v>
      </c>
      <c r="X4" s="7" t="s">
        <v>49</v>
      </c>
      <c r="Y4" s="7" t="s">
        <v>50</v>
      </c>
      <c r="Z4" s="13" t="s">
        <v>44</v>
      </c>
    </row>
    <row r="5" spans="1:26" ht="19.5" customHeight="1" x14ac:dyDescent="0.45">
      <c r="A5" s="8" t="s">
        <v>51</v>
      </c>
      <c r="B5" s="8" t="s">
        <v>52</v>
      </c>
      <c r="C5" s="8" t="s">
        <v>53</v>
      </c>
      <c r="D5" s="8" t="s">
        <v>54</v>
      </c>
      <c r="E5" s="8" t="s">
        <v>55</v>
      </c>
      <c r="F5" s="8" t="s">
        <v>56</v>
      </c>
      <c r="G5" s="8" t="s">
        <v>57</v>
      </c>
      <c r="H5" s="8" t="s">
        <v>58</v>
      </c>
      <c r="I5" s="8" t="s">
        <v>41</v>
      </c>
      <c r="J5" s="8" t="s">
        <v>59</v>
      </c>
      <c r="K5" s="8" t="s">
        <v>60</v>
      </c>
      <c r="L5" s="13" t="s">
        <v>44</v>
      </c>
      <c r="M5" s="13" t="s">
        <v>44</v>
      </c>
      <c r="N5" s="13" t="s">
        <v>44</v>
      </c>
      <c r="O5" s="13" t="s">
        <v>44</v>
      </c>
      <c r="P5" s="8" t="s">
        <v>61</v>
      </c>
      <c r="Q5" s="8" t="s">
        <v>62</v>
      </c>
      <c r="R5" s="8">
        <f ca="1">TODAY()-DATE(2025,5,5)</f>
        <v>359</v>
      </c>
      <c r="S5" s="14" t="s">
        <v>63</v>
      </c>
      <c r="T5" s="8"/>
      <c r="U5" s="8"/>
      <c r="V5" s="8"/>
      <c r="W5" s="8" t="s">
        <v>64</v>
      </c>
      <c r="X5" s="8" t="s">
        <v>65</v>
      </c>
      <c r="Y5" s="8" t="s">
        <v>66</v>
      </c>
      <c r="Z5" s="14" t="s">
        <v>63</v>
      </c>
    </row>
    <row r="6" spans="1:26" ht="19.5" customHeight="1" x14ac:dyDescent="0.45">
      <c r="A6" s="9" t="s">
        <v>67</v>
      </c>
      <c r="B6" s="9" t="s">
        <v>68</v>
      </c>
      <c r="C6" s="9" t="s">
        <v>69</v>
      </c>
      <c r="D6" s="9" t="s">
        <v>70</v>
      </c>
      <c r="E6" s="9" t="s">
        <v>71</v>
      </c>
      <c r="F6" s="9" t="s">
        <v>72</v>
      </c>
      <c r="G6" s="9" t="s">
        <v>73</v>
      </c>
      <c r="H6" s="9" t="s">
        <v>74</v>
      </c>
      <c r="I6" s="9" t="s">
        <v>41</v>
      </c>
      <c r="J6" s="9" t="s">
        <v>75</v>
      </c>
      <c r="K6" s="9" t="s">
        <v>76</v>
      </c>
      <c r="L6" s="13" t="s">
        <v>44</v>
      </c>
      <c r="M6" s="13" t="s">
        <v>44</v>
      </c>
      <c r="N6" s="13" t="s">
        <v>44</v>
      </c>
      <c r="O6" s="13" t="s">
        <v>44</v>
      </c>
      <c r="P6" s="9" t="s">
        <v>77</v>
      </c>
      <c r="Q6" s="9" t="s">
        <v>78</v>
      </c>
      <c r="R6" s="9">
        <f ca="1">TODAY()-DATE(2025,5,20)</f>
        <v>344</v>
      </c>
      <c r="S6" s="14" t="s">
        <v>63</v>
      </c>
      <c r="T6" s="9"/>
      <c r="U6" s="9"/>
      <c r="V6" s="9"/>
      <c r="W6" s="9" t="s">
        <v>77</v>
      </c>
      <c r="X6" s="9" t="s">
        <v>78</v>
      </c>
      <c r="Y6" s="9" t="s">
        <v>79</v>
      </c>
      <c r="Z6" s="14" t="s">
        <v>63</v>
      </c>
    </row>
    <row r="7" spans="1:26" ht="19.5" customHeight="1" x14ac:dyDescent="0.45">
      <c r="A7" s="8" t="s">
        <v>80</v>
      </c>
      <c r="B7" s="8" t="s">
        <v>81</v>
      </c>
      <c r="C7" s="8" t="s">
        <v>82</v>
      </c>
      <c r="D7" s="8" t="s">
        <v>83</v>
      </c>
      <c r="E7" s="8" t="s">
        <v>84</v>
      </c>
      <c r="F7" s="8" t="s">
        <v>85</v>
      </c>
      <c r="G7" s="8" t="s">
        <v>86</v>
      </c>
      <c r="H7" s="8" t="s">
        <v>87</v>
      </c>
      <c r="I7" s="8" t="s">
        <v>41</v>
      </c>
      <c r="J7" s="8" t="s">
        <v>59</v>
      </c>
      <c r="K7" s="8" t="s">
        <v>60</v>
      </c>
      <c r="L7" s="13" t="s">
        <v>44</v>
      </c>
      <c r="M7" s="13" t="s">
        <v>44</v>
      </c>
      <c r="N7" s="14" t="s">
        <v>63</v>
      </c>
      <c r="O7" s="13" t="s">
        <v>44</v>
      </c>
      <c r="P7" s="8"/>
      <c r="Q7" s="8"/>
      <c r="R7" s="8"/>
      <c r="S7" s="14" t="s">
        <v>63</v>
      </c>
      <c r="T7" s="8"/>
      <c r="U7" s="8"/>
      <c r="V7" s="8"/>
      <c r="W7" s="8" t="s">
        <v>88</v>
      </c>
      <c r="X7" s="8" t="s">
        <v>49</v>
      </c>
      <c r="Y7" s="8" t="s">
        <v>89</v>
      </c>
      <c r="Z7" s="14" t="s">
        <v>63</v>
      </c>
    </row>
    <row r="8" spans="1:26" ht="19.5" customHeight="1" x14ac:dyDescent="0.45">
      <c r="A8" s="10" t="s">
        <v>90</v>
      </c>
      <c r="B8" s="10" t="s">
        <v>91</v>
      </c>
      <c r="C8" s="10" t="s">
        <v>92</v>
      </c>
      <c r="D8" s="10" t="s">
        <v>93</v>
      </c>
      <c r="E8" s="10" t="s">
        <v>94</v>
      </c>
      <c r="F8" s="10" t="s">
        <v>95</v>
      </c>
      <c r="G8" s="10" t="s">
        <v>96</v>
      </c>
      <c r="H8" s="10" t="s">
        <v>97</v>
      </c>
      <c r="I8" s="10" t="s">
        <v>41</v>
      </c>
      <c r="J8" s="10" t="s">
        <v>98</v>
      </c>
      <c r="K8" s="10" t="s">
        <v>99</v>
      </c>
      <c r="L8" s="13" t="s">
        <v>44</v>
      </c>
      <c r="M8" s="13" t="s">
        <v>44</v>
      </c>
      <c r="N8" s="13" t="s">
        <v>44</v>
      </c>
      <c r="O8" s="13" t="s">
        <v>44</v>
      </c>
      <c r="P8" s="10" t="s">
        <v>77</v>
      </c>
      <c r="Q8" s="10" t="s">
        <v>100</v>
      </c>
      <c r="R8" s="10">
        <f ca="1">TODAY()-DATE(2025,4,20)</f>
        <v>374</v>
      </c>
      <c r="S8" s="14" t="s">
        <v>63</v>
      </c>
      <c r="T8" s="10"/>
      <c r="U8" s="10"/>
      <c r="V8" s="10"/>
      <c r="W8" s="10" t="s">
        <v>101</v>
      </c>
      <c r="X8" s="10" t="s">
        <v>62</v>
      </c>
      <c r="Y8" s="10" t="s">
        <v>102</v>
      </c>
      <c r="Z8" s="14" t="s">
        <v>63</v>
      </c>
    </row>
    <row r="9" spans="1:26" ht="23.85" customHeight="1" x14ac:dyDescent="0.45">
      <c r="A9" s="10" t="s">
        <v>103</v>
      </c>
      <c r="B9" s="10" t="s">
        <v>104</v>
      </c>
      <c r="C9" s="10" t="s">
        <v>105</v>
      </c>
      <c r="D9" s="10" t="s">
        <v>106</v>
      </c>
      <c r="E9" s="10" t="s">
        <v>37</v>
      </c>
      <c r="F9" s="10" t="s">
        <v>107</v>
      </c>
      <c r="G9" s="10" t="s">
        <v>39</v>
      </c>
      <c r="H9" s="10" t="s">
        <v>108</v>
      </c>
      <c r="I9" s="10" t="s">
        <v>61</v>
      </c>
      <c r="J9" s="10" t="s">
        <v>42</v>
      </c>
      <c r="K9" s="10" t="s">
        <v>109</v>
      </c>
      <c r="L9" s="13" t="s">
        <v>44</v>
      </c>
      <c r="M9" s="13" t="s">
        <v>44</v>
      </c>
      <c r="N9" s="13" t="s">
        <v>44</v>
      </c>
      <c r="O9" s="13" t="s">
        <v>44</v>
      </c>
      <c r="P9" s="10" t="s">
        <v>61</v>
      </c>
      <c r="Q9" s="10" t="s">
        <v>110</v>
      </c>
      <c r="R9" s="10">
        <f ca="1">TODAY()-DATE(2025,5,10)</f>
        <v>354</v>
      </c>
      <c r="S9" s="14" t="s">
        <v>63</v>
      </c>
      <c r="T9" s="10"/>
      <c r="U9" s="10"/>
      <c r="V9" s="10"/>
      <c r="W9" s="10" t="s">
        <v>101</v>
      </c>
      <c r="X9" s="10" t="s">
        <v>111</v>
      </c>
      <c r="Y9" s="10" t="s">
        <v>112</v>
      </c>
      <c r="Z9" s="14" t="s">
        <v>63</v>
      </c>
    </row>
    <row r="10" spans="1:26" x14ac:dyDescent="0.45">
      <c r="L10" s="15"/>
      <c r="M10" s="15"/>
      <c r="N10" s="15"/>
      <c r="O10" s="15"/>
      <c r="S10" s="15"/>
      <c r="Z10" s="15"/>
    </row>
    <row r="11" spans="1:26" x14ac:dyDescent="0.45">
      <c r="L11" s="15"/>
      <c r="M11" s="15"/>
      <c r="N11" s="15"/>
      <c r="O11" s="15"/>
      <c r="S11" s="15"/>
      <c r="Z11" s="15"/>
    </row>
    <row r="12" spans="1:26" x14ac:dyDescent="0.45">
      <c r="L12" s="15"/>
      <c r="M12" s="15"/>
      <c r="N12" s="15"/>
      <c r="O12" s="15"/>
      <c r="S12" s="15"/>
      <c r="Z12" s="15"/>
    </row>
    <row r="13" spans="1:26" x14ac:dyDescent="0.45">
      <c r="L13" s="15"/>
      <c r="M13" s="15"/>
      <c r="N13" s="15"/>
      <c r="O13" s="15"/>
      <c r="S13" s="15"/>
      <c r="Z13" s="15"/>
    </row>
    <row r="14" spans="1:26" x14ac:dyDescent="0.45">
      <c r="L14" s="15"/>
      <c r="M14" s="15"/>
      <c r="N14" s="15"/>
      <c r="O14" s="15"/>
      <c r="S14" s="15"/>
      <c r="Z14" s="15"/>
    </row>
    <row r="15" spans="1:26" x14ac:dyDescent="0.45">
      <c r="L15" s="15"/>
      <c r="M15" s="15"/>
      <c r="N15" s="15"/>
      <c r="O15" s="15"/>
      <c r="S15" s="15"/>
      <c r="Z15" s="15"/>
    </row>
    <row r="16" spans="1:26" x14ac:dyDescent="0.45">
      <c r="L16" s="15"/>
      <c r="M16" s="15"/>
      <c r="N16" s="15"/>
      <c r="O16" s="15"/>
      <c r="S16" s="15"/>
      <c r="Z16" s="15"/>
    </row>
    <row r="17" spans="12:26" x14ac:dyDescent="0.45">
      <c r="L17" s="15"/>
      <c r="M17" s="15"/>
      <c r="N17" s="15"/>
      <c r="O17" s="15"/>
      <c r="S17" s="15"/>
      <c r="Z17" s="15"/>
    </row>
    <row r="18" spans="12:26" x14ac:dyDescent="0.45">
      <c r="L18" s="15"/>
      <c r="M18" s="15"/>
      <c r="N18" s="15"/>
      <c r="O18" s="15"/>
      <c r="S18" s="15"/>
      <c r="Z18" s="15"/>
    </row>
    <row r="19" spans="12:26" x14ac:dyDescent="0.45">
      <c r="L19" s="15"/>
      <c r="M19" s="15"/>
      <c r="N19" s="15"/>
      <c r="O19" s="15"/>
      <c r="S19" s="15"/>
      <c r="Z19" s="15"/>
    </row>
    <row r="20" spans="12:26" x14ac:dyDescent="0.45">
      <c r="L20" s="15"/>
      <c r="M20" s="15"/>
      <c r="N20" s="15"/>
      <c r="O20" s="15"/>
      <c r="S20" s="15"/>
      <c r="Z20" s="15"/>
    </row>
  </sheetData>
  <mergeCells count="6">
    <mergeCell ref="P1:R1"/>
    <mergeCell ref="I1:K1"/>
    <mergeCell ref="A1:H1"/>
    <mergeCell ref="W1:Z1"/>
    <mergeCell ref="L1:O1"/>
    <mergeCell ref="S1:V1"/>
  </mergeCells>
  <dataValidations count="1">
    <dataValidation type="list" showInputMessage="1" showErrorMessage="1" errorTitle="Invalid Input" error="Please select Yes or No." promptTitle="Select Status" prompt="Choose Yes if confirmed, No if not yet received." sqref="Z4:Z20 S4:S20 L4:O20" xr:uid="{00000000-0002-0000-0000-000000000000}">
      <formula1>"Yes,No"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22" customWidth="1"/>
    <col min="2" max="2" width="12" customWidth="1"/>
    <col min="3" max="3" width="30" customWidth="1"/>
    <col min="4" max="4" width="12" customWidth="1"/>
    <col min="5" max="5" width="55" customWidth="1"/>
    <col min="6" max="6" width="40" customWidth="1"/>
  </cols>
  <sheetData>
    <row r="1" spans="1:6" ht="21.75" customHeight="1" x14ac:dyDescent="0.45">
      <c r="A1" s="3" t="s">
        <v>113</v>
      </c>
      <c r="B1" s="3" t="s">
        <v>7</v>
      </c>
      <c r="C1" s="3" t="s">
        <v>114</v>
      </c>
      <c r="D1" s="3" t="s">
        <v>115</v>
      </c>
      <c r="E1" s="3" t="s">
        <v>116</v>
      </c>
      <c r="F1" s="3" t="s">
        <v>117</v>
      </c>
    </row>
    <row r="2" spans="1:6" ht="23.85" customHeight="1" x14ac:dyDescent="0.45">
      <c r="A2" s="7" t="s">
        <v>118</v>
      </c>
      <c r="B2" s="7" t="s">
        <v>33</v>
      </c>
      <c r="C2" s="7" t="s">
        <v>119</v>
      </c>
      <c r="D2" s="7" t="s">
        <v>41</v>
      </c>
      <c r="E2" s="7" t="s">
        <v>120</v>
      </c>
      <c r="F2" s="7"/>
    </row>
    <row r="3" spans="1:6" ht="15" customHeight="1" x14ac:dyDescent="0.45">
      <c r="A3" s="7" t="s">
        <v>121</v>
      </c>
      <c r="B3" s="7" t="s">
        <v>33</v>
      </c>
      <c r="C3" s="7" t="s">
        <v>122</v>
      </c>
      <c r="D3" s="7" t="s">
        <v>41</v>
      </c>
      <c r="E3" s="7" t="s">
        <v>123</v>
      </c>
      <c r="F3" s="7"/>
    </row>
    <row r="4" spans="1:6" ht="15" customHeight="1" x14ac:dyDescent="0.45">
      <c r="A4" s="7" t="s">
        <v>124</v>
      </c>
      <c r="B4" s="7" t="s">
        <v>33</v>
      </c>
      <c r="C4" s="7" t="s">
        <v>125</v>
      </c>
      <c r="D4" s="7" t="s">
        <v>41</v>
      </c>
      <c r="E4" s="7" t="s">
        <v>126</v>
      </c>
      <c r="F4" s="7"/>
    </row>
    <row r="5" spans="1:6" ht="15" customHeight="1" x14ac:dyDescent="0.45">
      <c r="A5" s="7" t="s">
        <v>127</v>
      </c>
      <c r="B5" s="7" t="s">
        <v>33</v>
      </c>
      <c r="C5" s="7" t="s">
        <v>128</v>
      </c>
      <c r="D5" s="7" t="s">
        <v>41</v>
      </c>
      <c r="E5" s="7" t="s">
        <v>129</v>
      </c>
      <c r="F5" s="7"/>
    </row>
    <row r="6" spans="1:6" ht="23.85" customHeight="1" x14ac:dyDescent="0.45">
      <c r="A6" s="7" t="s">
        <v>130</v>
      </c>
      <c r="B6" s="7" t="s">
        <v>33</v>
      </c>
      <c r="C6" s="7" t="s">
        <v>131</v>
      </c>
      <c r="D6" s="7" t="s">
        <v>41</v>
      </c>
      <c r="E6" s="7" t="s">
        <v>132</v>
      </c>
      <c r="F6" s="7"/>
    </row>
    <row r="7" spans="1:6" ht="15" customHeight="1" x14ac:dyDescent="0.45">
      <c r="A7" s="7" t="s">
        <v>133</v>
      </c>
      <c r="B7" s="7" t="s">
        <v>33</v>
      </c>
      <c r="C7" s="7" t="s">
        <v>134</v>
      </c>
      <c r="D7" s="7" t="s">
        <v>41</v>
      </c>
      <c r="E7" s="7" t="s">
        <v>135</v>
      </c>
      <c r="F7" s="7"/>
    </row>
    <row r="8" spans="1:6" ht="15" customHeight="1" x14ac:dyDescent="0.45">
      <c r="A8" s="8" t="s">
        <v>136</v>
      </c>
      <c r="B8" s="8" t="s">
        <v>51</v>
      </c>
      <c r="C8" s="8" t="s">
        <v>125</v>
      </c>
      <c r="D8" s="8" t="s">
        <v>61</v>
      </c>
      <c r="E8" s="8" t="s">
        <v>137</v>
      </c>
      <c r="F8" s="8"/>
    </row>
    <row r="9" spans="1:6" ht="15" customHeight="1" x14ac:dyDescent="0.45">
      <c r="A9" s="9" t="s">
        <v>138</v>
      </c>
      <c r="B9" s="9" t="s">
        <v>67</v>
      </c>
      <c r="C9" s="9" t="s">
        <v>125</v>
      </c>
      <c r="D9" s="9" t="s">
        <v>77</v>
      </c>
      <c r="E9" s="9" t="s">
        <v>139</v>
      </c>
      <c r="F9" s="9"/>
    </row>
    <row r="10" spans="1:6" ht="15" customHeight="1" x14ac:dyDescent="0.45">
      <c r="A10" s="8" t="s">
        <v>140</v>
      </c>
      <c r="B10" s="8" t="s">
        <v>80</v>
      </c>
      <c r="C10" s="8" t="s">
        <v>122</v>
      </c>
      <c r="D10" s="8" t="s">
        <v>61</v>
      </c>
      <c r="E10" s="8" t="s">
        <v>141</v>
      </c>
      <c r="F10" s="8" t="s">
        <v>142</v>
      </c>
    </row>
    <row r="11" spans="1:6" ht="15" customHeight="1" x14ac:dyDescent="0.45">
      <c r="A11" s="10" t="s">
        <v>143</v>
      </c>
      <c r="B11" s="10" t="s">
        <v>90</v>
      </c>
      <c r="C11" s="10" t="s">
        <v>125</v>
      </c>
      <c r="D11" s="10" t="s">
        <v>101</v>
      </c>
      <c r="E11" s="10" t="s">
        <v>144</v>
      </c>
      <c r="F11" s="10"/>
    </row>
    <row r="12" spans="1:6" ht="23.85" customHeight="1" x14ac:dyDescent="0.45">
      <c r="A12" s="8" t="s">
        <v>145</v>
      </c>
      <c r="B12" s="8" t="s">
        <v>103</v>
      </c>
      <c r="C12" s="8" t="s">
        <v>119</v>
      </c>
      <c r="D12" s="8" t="s">
        <v>61</v>
      </c>
      <c r="E12" s="8" t="s">
        <v>146</v>
      </c>
      <c r="F12" s="8" t="s">
        <v>147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28" customWidth="1"/>
    <col min="2" max="2" width="45" customWidth="1"/>
    <col min="3" max="3" width="50" customWidth="1"/>
  </cols>
  <sheetData>
    <row r="1" spans="1:3" ht="21.75" customHeight="1" x14ac:dyDescent="0.45">
      <c r="A1" s="3" t="s">
        <v>148</v>
      </c>
      <c r="B1" s="3" t="s">
        <v>149</v>
      </c>
      <c r="C1" s="3" t="s">
        <v>150</v>
      </c>
    </row>
    <row r="2" spans="1:3" ht="15" customHeight="1" x14ac:dyDescent="0.45">
      <c r="A2" s="11" t="s">
        <v>151</v>
      </c>
      <c r="B2" s="11" t="s">
        <v>152</v>
      </c>
      <c r="C2" s="11" t="s">
        <v>153</v>
      </c>
    </row>
    <row r="3" spans="1:3" ht="15" customHeight="1" x14ac:dyDescent="0.45">
      <c r="A3" s="12" t="s">
        <v>154</v>
      </c>
      <c r="B3" s="12" t="s">
        <v>155</v>
      </c>
      <c r="C3" s="12" t="s">
        <v>156</v>
      </c>
    </row>
    <row r="4" spans="1:3" ht="15" customHeight="1" x14ac:dyDescent="0.45">
      <c r="A4" s="11" t="s">
        <v>157</v>
      </c>
      <c r="B4" s="11" t="s">
        <v>158</v>
      </c>
      <c r="C4" s="11" t="s">
        <v>159</v>
      </c>
    </row>
    <row r="5" spans="1:3" ht="15" customHeight="1" x14ac:dyDescent="0.45">
      <c r="A5" s="12" t="s">
        <v>160</v>
      </c>
      <c r="B5" s="12" t="s">
        <v>161</v>
      </c>
      <c r="C5" s="12" t="s">
        <v>162</v>
      </c>
    </row>
    <row r="6" spans="1:3" ht="23.85" customHeight="1" x14ac:dyDescent="0.45">
      <c r="A6" s="11" t="s">
        <v>163</v>
      </c>
      <c r="B6" s="11" t="s">
        <v>164</v>
      </c>
      <c r="C6" s="11" t="s">
        <v>165</v>
      </c>
    </row>
    <row r="7" spans="1:3" ht="15" customHeight="1" x14ac:dyDescent="0.45">
      <c r="A7" s="12" t="s">
        <v>166</v>
      </c>
      <c r="B7" s="12" t="s">
        <v>164</v>
      </c>
      <c r="C7" s="12" t="s">
        <v>167</v>
      </c>
    </row>
    <row r="8" spans="1:3" ht="15" customHeight="1" x14ac:dyDescent="0.45">
      <c r="A8" s="11" t="s">
        <v>168</v>
      </c>
      <c r="B8" s="11" t="s">
        <v>47</v>
      </c>
      <c r="C8" s="11" t="s">
        <v>169</v>
      </c>
    </row>
    <row r="9" spans="1:3" ht="15" customHeight="1" x14ac:dyDescent="0.45">
      <c r="A9" s="12" t="s">
        <v>170</v>
      </c>
      <c r="B9" s="12" t="s">
        <v>171</v>
      </c>
      <c r="C9" s="12" t="s">
        <v>172</v>
      </c>
    </row>
    <row r="10" spans="1:3" ht="15" customHeight="1" x14ac:dyDescent="0.45">
      <c r="A10" s="11" t="s">
        <v>173</v>
      </c>
      <c r="B10" s="11" t="s">
        <v>174</v>
      </c>
      <c r="C10" s="11" t="s">
        <v>175</v>
      </c>
    </row>
    <row r="11" spans="1:3" ht="15" customHeight="1" x14ac:dyDescent="0.45">
      <c r="A11" s="12" t="s">
        <v>176</v>
      </c>
      <c r="B11" s="12" t="s">
        <v>177</v>
      </c>
      <c r="C11" s="12" t="s">
        <v>178</v>
      </c>
    </row>
    <row r="12" spans="1:3" ht="23.85" customHeight="1" x14ac:dyDescent="0.45">
      <c r="A12" s="11" t="s">
        <v>179</v>
      </c>
      <c r="B12" s="11" t="s">
        <v>180</v>
      </c>
      <c r="C12" s="11" t="s">
        <v>181</v>
      </c>
    </row>
    <row r="13" spans="1:3" ht="23.85" customHeight="1" x14ac:dyDescent="0.45">
      <c r="A13" s="12" t="s">
        <v>182</v>
      </c>
      <c r="B13" s="12" t="s">
        <v>183</v>
      </c>
      <c r="C13" s="12" t="s">
        <v>184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New_Hire_Tracking</vt:lpstr>
      <vt:lpstr>Bot_Log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Wenli Li</cp:lastModifiedBy>
  <cp:revision>0</cp:revision>
  <dcterms:created xsi:type="dcterms:W3CDTF">2026-04-29T20:02:51Z</dcterms:created>
  <dcterms:modified xsi:type="dcterms:W3CDTF">2026-04-29T20:07:59Z</dcterms:modified>
  <dc:language>en-US</dc:language>
</cp:coreProperties>
</file>